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STATCAL ONLINE WITH PYTHON STREAMLIT 2026\data panel IDX Perbankan\"/>
    </mc:Choice>
  </mc:AlternateContent>
  <xr:revisionPtr revIDLastSave="0" documentId="13_ncr:1_{D6176D57-AB39-4AF8-9875-5FB4F535322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33" i="2" l="1"/>
  <c r="L33" i="2"/>
  <c r="K33" i="2"/>
  <c r="J33" i="2"/>
  <c r="M32" i="2"/>
  <c r="L32" i="2"/>
  <c r="K32" i="2"/>
  <c r="J32" i="2"/>
  <c r="M31" i="2"/>
  <c r="L31" i="2"/>
  <c r="K31" i="2"/>
  <c r="J31" i="2"/>
  <c r="M30" i="2"/>
  <c r="L30" i="2"/>
  <c r="K30" i="2"/>
  <c r="J30" i="2"/>
  <c r="M29" i="2"/>
  <c r="L29" i="2"/>
  <c r="K29" i="2"/>
  <c r="J29" i="2"/>
  <c r="M28" i="2"/>
  <c r="L28" i="2"/>
  <c r="K28" i="2"/>
  <c r="J28" i="2"/>
  <c r="M27" i="2"/>
  <c r="L27" i="2"/>
  <c r="K27" i="2"/>
  <c r="J27" i="2"/>
  <c r="M26" i="2"/>
  <c r="L26" i="2"/>
  <c r="K26" i="2"/>
  <c r="J26" i="2"/>
  <c r="M25" i="2"/>
  <c r="L25" i="2"/>
  <c r="K25" i="2"/>
  <c r="J25" i="2"/>
  <c r="M24" i="2"/>
  <c r="L24" i="2"/>
  <c r="K24" i="2"/>
  <c r="J24" i="2"/>
  <c r="M23" i="2"/>
  <c r="L23" i="2"/>
  <c r="K23" i="2"/>
  <c r="J23" i="2"/>
  <c r="M22" i="2"/>
  <c r="L22" i="2"/>
  <c r="K22" i="2"/>
  <c r="J22" i="2"/>
  <c r="M21" i="2"/>
  <c r="L21" i="2"/>
  <c r="K21" i="2"/>
  <c r="J21" i="2"/>
  <c r="M20" i="2"/>
  <c r="L20" i="2"/>
  <c r="K20" i="2"/>
  <c r="J20" i="2"/>
  <c r="M19" i="2"/>
  <c r="L19" i="2"/>
  <c r="K19" i="2"/>
  <c r="J19" i="2"/>
  <c r="M18" i="2"/>
  <c r="L18" i="2"/>
  <c r="K18" i="2"/>
  <c r="J18" i="2"/>
  <c r="M17" i="2"/>
  <c r="L17" i="2"/>
  <c r="K17" i="2"/>
  <c r="J17" i="2"/>
  <c r="M16" i="2"/>
  <c r="L16" i="2"/>
  <c r="K16" i="2"/>
  <c r="J16" i="2"/>
  <c r="M15" i="2"/>
  <c r="L15" i="2"/>
  <c r="K15" i="2"/>
  <c r="J15" i="2"/>
  <c r="M14" i="2"/>
  <c r="L14" i="2"/>
  <c r="K14" i="2"/>
  <c r="J14" i="2"/>
  <c r="M13" i="2"/>
  <c r="L13" i="2"/>
  <c r="K13" i="2"/>
  <c r="J13" i="2"/>
  <c r="M12" i="2"/>
  <c r="L12" i="2"/>
  <c r="K12" i="2"/>
  <c r="J12" i="2"/>
  <c r="M11" i="2"/>
  <c r="L11" i="2"/>
  <c r="K11" i="2"/>
  <c r="J11" i="2"/>
  <c r="M10" i="2"/>
  <c r="L10" i="2"/>
  <c r="K10" i="2"/>
  <c r="J10" i="2"/>
  <c r="M9" i="2"/>
  <c r="L9" i="2"/>
  <c r="K9" i="2"/>
  <c r="J9" i="2"/>
  <c r="M8" i="2"/>
  <c r="L8" i="2"/>
  <c r="K8" i="2"/>
  <c r="J8" i="2"/>
  <c r="M7" i="2"/>
  <c r="L7" i="2"/>
  <c r="K7" i="2"/>
  <c r="J7" i="2"/>
  <c r="M6" i="2"/>
  <c r="L6" i="2"/>
  <c r="K6" i="2"/>
  <c r="J6" i="2"/>
  <c r="M5" i="2"/>
  <c r="L5" i="2"/>
  <c r="K5" i="2"/>
  <c r="J5" i="2"/>
  <c r="M4" i="2"/>
  <c r="L4" i="2"/>
  <c r="K4" i="2"/>
  <c r="J4" i="2"/>
  <c r="M3" i="2"/>
  <c r="L3" i="2"/>
  <c r="K3" i="2"/>
  <c r="J3" i="2"/>
  <c r="M2" i="2"/>
  <c r="L2" i="2"/>
  <c r="K2" i="2"/>
  <c r="J2" i="2"/>
</calcChain>
</file>

<file path=xl/sharedStrings.xml><?xml version="1.0" encoding="utf-8"?>
<sst xmlns="http://schemas.openxmlformats.org/spreadsheetml/2006/main" count="109" uniqueCount="30">
  <si>
    <t>BBCA</t>
  </si>
  <si>
    <t>https://drive.google.com/drive/folders/1s273Ad5FUElhzd5G16jWSBxbOtforzRR?usp=sharing</t>
  </si>
  <si>
    <t>Total Assets</t>
  </si>
  <si>
    <t>Total Liabilities</t>
  </si>
  <si>
    <t>Total Equity</t>
  </si>
  <si>
    <t>Net Income</t>
  </si>
  <si>
    <t>Earning per Share</t>
  </si>
  <si>
    <t>BBNI</t>
  </si>
  <si>
    <t>BBRI</t>
  </si>
  <si>
    <t>BMRI</t>
  </si>
  <si>
    <t>Return on Asset (ROA)</t>
  </si>
  <si>
    <t>Return on Equity (ROE)</t>
  </si>
  <si>
    <t>Debt to Asset Ratio (DAR)</t>
  </si>
  <si>
    <t>Debt to Equity Ratio (DER)</t>
  </si>
  <si>
    <t>BDMN</t>
  </si>
  <si>
    <t>BBTN</t>
  </si>
  <si>
    <t>ARTO</t>
  </si>
  <si>
    <t>BABP</t>
  </si>
  <si>
    <t>Year</t>
  </si>
  <si>
    <t>PT Bank Central Asia Tbk.</t>
  </si>
  <si>
    <t>PT Bank Negara Indonesia (Persero) Tbk</t>
  </si>
  <si>
    <t>PT Bank Rakyat Indonesia (Persero) Tbk</t>
  </si>
  <si>
    <t>PT Bank Mandiri (Persero) Tbk</t>
  </si>
  <si>
    <t>PT Bank Danamon Indonesia Tbk</t>
  </si>
  <si>
    <t>PT Bank Tabungan Negara (Persero) Tbk</t>
  </si>
  <si>
    <t>PT Bank Jago Tbk.</t>
  </si>
  <si>
    <t>PT Bank MNC Internasional Tbk.</t>
  </si>
  <si>
    <t>Financial Statement URL</t>
  </si>
  <si>
    <t>Ticker Code</t>
  </si>
  <si>
    <t>Company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</si>
</sst>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0" xfId="1" applyAlignment="1">
      <alignment horizontal="center"/>
    </xf>
    <xf numFmtId="1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drive/folders/1s273Ad5FUElhzd5G16jWSBxbOtforzRR?usp=sharing" TargetMode="External"/><Relationship Id="rId13" Type="http://schemas.openxmlformats.org/officeDocument/2006/relationships/hyperlink" Target="https://drive.google.com/drive/folders/1s273Ad5FUElhzd5G16jWSBxbOtforzRR?usp=sharing" TargetMode="External"/><Relationship Id="rId18" Type="http://schemas.openxmlformats.org/officeDocument/2006/relationships/hyperlink" Target="https://drive.google.com/drive/folders/1s273Ad5FUElhzd5G16jWSBxbOtforzRR?usp=sharing" TargetMode="External"/><Relationship Id="rId26" Type="http://schemas.openxmlformats.org/officeDocument/2006/relationships/hyperlink" Target="https://drive.google.com/drive/folders/1s273Ad5FUElhzd5G16jWSBxbOtforzRR?usp=sharing" TargetMode="External"/><Relationship Id="rId3" Type="http://schemas.openxmlformats.org/officeDocument/2006/relationships/hyperlink" Target="https://drive.google.com/drive/folders/1s273Ad5FUElhzd5G16jWSBxbOtforzRR?usp=sharing" TargetMode="External"/><Relationship Id="rId21" Type="http://schemas.openxmlformats.org/officeDocument/2006/relationships/hyperlink" Target="https://drive.google.com/drive/folders/1s273Ad5FUElhzd5G16jWSBxbOtforzRR?usp=sharing" TargetMode="External"/><Relationship Id="rId7" Type="http://schemas.openxmlformats.org/officeDocument/2006/relationships/hyperlink" Target="https://drive.google.com/drive/folders/1s273Ad5FUElhzd5G16jWSBxbOtforzRR?usp=sharing" TargetMode="External"/><Relationship Id="rId12" Type="http://schemas.openxmlformats.org/officeDocument/2006/relationships/hyperlink" Target="https://drive.google.com/drive/folders/1s273Ad5FUElhzd5G16jWSBxbOtforzRR?usp=sharing" TargetMode="External"/><Relationship Id="rId17" Type="http://schemas.openxmlformats.org/officeDocument/2006/relationships/hyperlink" Target="https://drive.google.com/drive/folders/1s273Ad5FUElhzd5G16jWSBxbOtforzRR?usp=sharing" TargetMode="External"/><Relationship Id="rId25" Type="http://schemas.openxmlformats.org/officeDocument/2006/relationships/hyperlink" Target="https://drive.google.com/drive/folders/1s273Ad5FUElhzd5G16jWSBxbOtforzRR?usp=sharing" TargetMode="External"/><Relationship Id="rId2" Type="http://schemas.openxmlformats.org/officeDocument/2006/relationships/hyperlink" Target="https://drive.google.com/drive/folders/1s273Ad5FUElhzd5G16jWSBxbOtforzRR?usp=sharing" TargetMode="External"/><Relationship Id="rId16" Type="http://schemas.openxmlformats.org/officeDocument/2006/relationships/hyperlink" Target="https://drive.google.com/drive/folders/1s273Ad5FUElhzd5G16jWSBxbOtforzRR?usp=sharing" TargetMode="External"/><Relationship Id="rId20" Type="http://schemas.openxmlformats.org/officeDocument/2006/relationships/hyperlink" Target="https://drive.google.com/drive/folders/1s273Ad5FUElhzd5G16jWSBxbOtforzRR?usp=sharing" TargetMode="External"/><Relationship Id="rId29" Type="http://schemas.openxmlformats.org/officeDocument/2006/relationships/hyperlink" Target="https://drive.google.com/drive/folders/1s273Ad5FUElhzd5G16jWSBxbOtforzRR?usp=sharing" TargetMode="External"/><Relationship Id="rId1" Type="http://schemas.openxmlformats.org/officeDocument/2006/relationships/hyperlink" Target="https://drive.google.com/drive/folders/1s273Ad5FUElhzd5G16jWSBxbOtforzRR?usp=sharing" TargetMode="External"/><Relationship Id="rId6" Type="http://schemas.openxmlformats.org/officeDocument/2006/relationships/hyperlink" Target="https://drive.google.com/drive/folders/1s273Ad5FUElhzd5G16jWSBxbOtforzRR?usp=sharing" TargetMode="External"/><Relationship Id="rId11" Type="http://schemas.openxmlformats.org/officeDocument/2006/relationships/hyperlink" Target="https://drive.google.com/drive/folders/1s273Ad5FUElhzd5G16jWSBxbOtforzRR?usp=sharing" TargetMode="External"/><Relationship Id="rId24" Type="http://schemas.openxmlformats.org/officeDocument/2006/relationships/hyperlink" Target="https://drive.google.com/drive/folders/1s273Ad5FUElhzd5G16jWSBxbOtforzRR?usp=sharing" TargetMode="External"/><Relationship Id="rId32" Type="http://schemas.openxmlformats.org/officeDocument/2006/relationships/hyperlink" Target="https://drive.google.com/drive/folders/1s273Ad5FUElhzd5G16jWSBxbOtforzRR?usp=sharing" TargetMode="External"/><Relationship Id="rId5" Type="http://schemas.openxmlformats.org/officeDocument/2006/relationships/hyperlink" Target="https://drive.google.com/drive/folders/1s273Ad5FUElhzd5G16jWSBxbOtforzRR?usp=sharing" TargetMode="External"/><Relationship Id="rId15" Type="http://schemas.openxmlformats.org/officeDocument/2006/relationships/hyperlink" Target="https://drive.google.com/drive/folders/1s273Ad5FUElhzd5G16jWSBxbOtforzRR?usp=sharing" TargetMode="External"/><Relationship Id="rId23" Type="http://schemas.openxmlformats.org/officeDocument/2006/relationships/hyperlink" Target="https://drive.google.com/drive/folders/1s273Ad5FUElhzd5G16jWSBxbOtforzRR?usp=sharing" TargetMode="External"/><Relationship Id="rId28" Type="http://schemas.openxmlformats.org/officeDocument/2006/relationships/hyperlink" Target="https://drive.google.com/drive/folders/1s273Ad5FUElhzd5G16jWSBxbOtforzRR?usp=sharing" TargetMode="External"/><Relationship Id="rId10" Type="http://schemas.openxmlformats.org/officeDocument/2006/relationships/hyperlink" Target="https://drive.google.com/drive/folders/1s273Ad5FUElhzd5G16jWSBxbOtforzRR?usp=sharing" TargetMode="External"/><Relationship Id="rId19" Type="http://schemas.openxmlformats.org/officeDocument/2006/relationships/hyperlink" Target="https://drive.google.com/drive/folders/1s273Ad5FUElhzd5G16jWSBxbOtforzRR?usp=sharing" TargetMode="External"/><Relationship Id="rId31" Type="http://schemas.openxmlformats.org/officeDocument/2006/relationships/hyperlink" Target="https://drive.google.com/drive/folders/1s273Ad5FUElhzd5G16jWSBxbOtforzRR?usp=sharing" TargetMode="External"/><Relationship Id="rId4" Type="http://schemas.openxmlformats.org/officeDocument/2006/relationships/hyperlink" Target="https://drive.google.com/drive/folders/1s273Ad5FUElhzd5G16jWSBxbOtforzRR?usp=sharing" TargetMode="External"/><Relationship Id="rId9" Type="http://schemas.openxmlformats.org/officeDocument/2006/relationships/hyperlink" Target="https://drive.google.com/drive/folders/1s273Ad5FUElhzd5G16jWSBxbOtforzRR?usp=sharing" TargetMode="External"/><Relationship Id="rId14" Type="http://schemas.openxmlformats.org/officeDocument/2006/relationships/hyperlink" Target="https://drive.google.com/drive/folders/1s273Ad5FUElhzd5G16jWSBxbOtforzRR?usp=sharing" TargetMode="External"/><Relationship Id="rId22" Type="http://schemas.openxmlformats.org/officeDocument/2006/relationships/hyperlink" Target="https://drive.google.com/drive/folders/1s273Ad5FUElhzd5G16jWSBxbOtforzRR?usp=sharing" TargetMode="External"/><Relationship Id="rId27" Type="http://schemas.openxmlformats.org/officeDocument/2006/relationships/hyperlink" Target="https://drive.google.com/drive/folders/1s273Ad5FUElhzd5G16jWSBxbOtforzRR?usp=sharing" TargetMode="External"/><Relationship Id="rId30" Type="http://schemas.openxmlformats.org/officeDocument/2006/relationships/hyperlink" Target="https://drive.google.com/drive/folders/1s273Ad5FUElhzd5G16jWSBxbOtforzRR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7374B-3BD9-45B5-9310-9F2FE2413763}">
  <dimension ref="A1:M33"/>
  <sheetViews>
    <sheetView tabSelected="1" topLeftCell="I1" workbookViewId="0">
      <selection sqref="A1:M1"/>
    </sheetView>
  </sheetViews>
  <sheetFormatPr defaultRowHeight="15" x14ac:dyDescent="0.25"/>
  <cols>
    <col min="1" max="1" width="50.140625" customWidth="1"/>
    <col min="2" max="2" width="54.5703125" customWidth="1"/>
    <col min="3" max="3" width="40.42578125" customWidth="1"/>
    <col min="4" max="4" width="133.28515625" customWidth="1"/>
    <col min="5" max="5" width="45.140625" customWidth="1"/>
    <col min="6" max="6" width="42" customWidth="1"/>
    <col min="7" max="7" width="47.5703125" customWidth="1"/>
    <col min="8" max="8" width="45.140625" customWidth="1"/>
    <col min="9" max="9" width="46.7109375" customWidth="1"/>
    <col min="10" max="10" width="51.7109375" customWidth="1"/>
    <col min="11" max="11" width="39.42578125" customWidth="1"/>
    <col min="12" max="12" width="39" customWidth="1"/>
    <col min="13" max="13" width="37.28515625" customWidth="1"/>
  </cols>
  <sheetData>
    <row r="1" spans="1:13" x14ac:dyDescent="0.25">
      <c r="A1" s="1" t="s">
        <v>28</v>
      </c>
      <c r="B1" s="1" t="s">
        <v>29</v>
      </c>
      <c r="C1" s="1" t="s">
        <v>18</v>
      </c>
      <c r="D1" s="1" t="s">
        <v>27</v>
      </c>
      <c r="E1" s="3" t="s">
        <v>2</v>
      </c>
      <c r="F1" s="3" t="s">
        <v>3</v>
      </c>
      <c r="G1" s="3" t="s">
        <v>4</v>
      </c>
      <c r="H1" s="3" t="s">
        <v>5</v>
      </c>
      <c r="I1" s="1" t="s">
        <v>6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 x14ac:dyDescent="0.25">
      <c r="A2" s="1" t="s">
        <v>0</v>
      </c>
      <c r="B2" s="1" t="s">
        <v>19</v>
      </c>
      <c r="C2" s="1">
        <v>2025</v>
      </c>
      <c r="D2" s="2" t="s">
        <v>1</v>
      </c>
      <c r="E2" s="3">
        <v>1586828536000000</v>
      </c>
      <c r="F2" s="3">
        <v>1294508286000000</v>
      </c>
      <c r="G2" s="3">
        <v>281687555000000</v>
      </c>
      <c r="H2" s="3">
        <v>57563093000000</v>
      </c>
      <c r="I2" s="1">
        <v>467</v>
      </c>
      <c r="J2" s="4">
        <f>H2/E2*100</f>
        <v>3.6275559516406375</v>
      </c>
      <c r="K2" s="4">
        <f>H2/G2*100</f>
        <v>20.435085603977075</v>
      </c>
      <c r="L2" s="4">
        <f>F2/E2*100</f>
        <v>81.578334182414778</v>
      </c>
      <c r="M2" s="4">
        <f>F2/G2*100</f>
        <v>459.55466012689124</v>
      </c>
    </row>
    <row r="3" spans="1:13" x14ac:dyDescent="0.25">
      <c r="A3" s="1" t="s">
        <v>0</v>
      </c>
      <c r="B3" s="1" t="s">
        <v>19</v>
      </c>
      <c r="C3" s="1">
        <v>2024</v>
      </c>
      <c r="D3" s="2" t="s">
        <v>1</v>
      </c>
      <c r="E3" s="3">
        <v>1449301328000000</v>
      </c>
      <c r="F3" s="3">
        <v>1176979424000000</v>
      </c>
      <c r="G3" s="3">
        <v>262835087000000</v>
      </c>
      <c r="H3" s="3">
        <v>54851274000000</v>
      </c>
      <c r="I3" s="1">
        <v>445</v>
      </c>
      <c r="J3" s="4">
        <f t="shared" ref="J3:J33" si="0">H3/E3*100</f>
        <v>3.7846700986394186</v>
      </c>
      <c r="K3" s="4">
        <f t="shared" ref="K3:K33" si="1">H3/G3*100</f>
        <v>20.869083586241285</v>
      </c>
      <c r="L3" s="4">
        <f t="shared" ref="L3:L33" si="2">F3/E3*100</f>
        <v>81.210125269408422</v>
      </c>
      <c r="M3" s="4">
        <f t="shared" ref="M3:M33" si="3">F3/G3*100</f>
        <v>447.80148549953685</v>
      </c>
    </row>
    <row r="4" spans="1:13" x14ac:dyDescent="0.25">
      <c r="A4" s="1" t="s">
        <v>0</v>
      </c>
      <c r="B4" s="1" t="s">
        <v>19</v>
      </c>
      <c r="C4" s="1">
        <v>2023</v>
      </c>
      <c r="D4" s="2" t="s">
        <v>1</v>
      </c>
      <c r="E4" s="3">
        <v>1408107010000000</v>
      </c>
      <c r="F4" s="3">
        <v>1157675545000000</v>
      </c>
      <c r="G4" s="3">
        <v>242537593000000</v>
      </c>
      <c r="H4" s="3">
        <v>48658095000000</v>
      </c>
      <c r="I4" s="1">
        <v>395</v>
      </c>
      <c r="J4" s="4">
        <f t="shared" si="0"/>
        <v>3.4555679827202903</v>
      </c>
      <c r="K4" s="4">
        <f t="shared" si="1"/>
        <v>20.062083736437511</v>
      </c>
      <c r="L4" s="4">
        <f t="shared" si="2"/>
        <v>82.215026044078854</v>
      </c>
      <c r="M4" s="4">
        <f t="shared" si="3"/>
        <v>477.31798220657691</v>
      </c>
    </row>
    <row r="5" spans="1:13" x14ac:dyDescent="0.25">
      <c r="A5" s="1" t="s">
        <v>0</v>
      </c>
      <c r="B5" s="1" t="s">
        <v>19</v>
      </c>
      <c r="C5" s="1">
        <v>2022</v>
      </c>
      <c r="D5" s="2" t="s">
        <v>1</v>
      </c>
      <c r="E5" s="3">
        <v>1314731674000000</v>
      </c>
      <c r="F5" s="3">
        <v>1087109644000000</v>
      </c>
      <c r="G5" s="3">
        <v>221181655000000</v>
      </c>
      <c r="H5" s="3">
        <v>40755572000000</v>
      </c>
      <c r="I5" s="1">
        <v>330</v>
      </c>
      <c r="J5" s="4">
        <f t="shared" si="0"/>
        <v>3.0999155801885703</v>
      </c>
      <c r="K5" s="4">
        <f t="shared" si="1"/>
        <v>18.426289467813234</v>
      </c>
      <c r="L5" s="4">
        <f t="shared" si="2"/>
        <v>82.686807163664639</v>
      </c>
      <c r="M5" s="4">
        <f t="shared" si="3"/>
        <v>491.50081818494397</v>
      </c>
    </row>
    <row r="6" spans="1:13" x14ac:dyDescent="0.25">
      <c r="A6" s="1" t="s">
        <v>7</v>
      </c>
      <c r="B6" s="1" t="s">
        <v>20</v>
      </c>
      <c r="C6" s="1">
        <v>2025</v>
      </c>
      <c r="D6" s="2" t="s">
        <v>1</v>
      </c>
      <c r="E6" s="3">
        <v>1362054731000000</v>
      </c>
      <c r="F6" s="3">
        <v>1185715363000000</v>
      </c>
      <c r="G6" s="3">
        <v>176339368000000</v>
      </c>
      <c r="H6" s="3">
        <v>20111040000000</v>
      </c>
      <c r="I6" s="1">
        <v>537</v>
      </c>
      <c r="J6" s="4">
        <f t="shared" si="0"/>
        <v>1.4765221648057254</v>
      </c>
      <c r="K6" s="4">
        <f t="shared" si="1"/>
        <v>11.40473634906075</v>
      </c>
      <c r="L6" s="4">
        <f t="shared" si="2"/>
        <v>87.053430087164386</v>
      </c>
      <c r="M6" s="4">
        <f t="shared" si="3"/>
        <v>672.405360441124</v>
      </c>
    </row>
    <row r="7" spans="1:13" x14ac:dyDescent="0.25">
      <c r="A7" s="1" t="s">
        <v>7</v>
      </c>
      <c r="B7" s="1" t="s">
        <v>20</v>
      </c>
      <c r="C7" s="1">
        <v>2024</v>
      </c>
      <c r="D7" s="2" t="s">
        <v>1</v>
      </c>
      <c r="E7" s="3">
        <v>1130128862000000</v>
      </c>
      <c r="F7" s="3">
        <v>963580855000000</v>
      </c>
      <c r="G7" s="3">
        <v>166548007000000</v>
      </c>
      <c r="H7" s="3">
        <v>21669397000000</v>
      </c>
      <c r="I7" s="1">
        <v>576</v>
      </c>
      <c r="J7" s="4">
        <f t="shared" si="0"/>
        <v>1.9174270942564422</v>
      </c>
      <c r="K7" s="4">
        <f t="shared" si="1"/>
        <v>13.010901415349871</v>
      </c>
      <c r="L7" s="4">
        <f t="shared" si="2"/>
        <v>85.262918893580121</v>
      </c>
      <c r="M7" s="4">
        <f t="shared" si="3"/>
        <v>578.56042372215234</v>
      </c>
    </row>
    <row r="8" spans="1:13" x14ac:dyDescent="0.25">
      <c r="A8" s="1" t="s">
        <v>7</v>
      </c>
      <c r="B8" s="1" t="s">
        <v>20</v>
      </c>
      <c r="C8" s="1">
        <v>2023</v>
      </c>
      <c r="D8" s="2" t="s">
        <v>1</v>
      </c>
      <c r="E8" s="3">
        <v>1086663986000000</v>
      </c>
      <c r="F8" s="3">
        <v>931931466000000</v>
      </c>
      <c r="G8" s="3">
        <v>154732520000000</v>
      </c>
      <c r="H8" s="3">
        <v>21106228000000</v>
      </c>
      <c r="I8" s="1">
        <v>561</v>
      </c>
      <c r="J8" s="4">
        <f t="shared" si="0"/>
        <v>1.942295711638685</v>
      </c>
      <c r="K8" s="4">
        <f t="shared" si="1"/>
        <v>13.640460324694512</v>
      </c>
      <c r="L8" s="4">
        <f t="shared" si="2"/>
        <v>85.760775916613468</v>
      </c>
      <c r="M8" s="4">
        <f t="shared" si="3"/>
        <v>602.2854575108064</v>
      </c>
    </row>
    <row r="9" spans="1:13" x14ac:dyDescent="0.25">
      <c r="A9" s="1" t="s">
        <v>7</v>
      </c>
      <c r="B9" s="1" t="s">
        <v>20</v>
      </c>
      <c r="C9" s="1">
        <v>2022</v>
      </c>
      <c r="D9" s="2" t="s">
        <v>1</v>
      </c>
      <c r="E9" s="3">
        <v>1029836868000000</v>
      </c>
      <c r="F9" s="3">
        <v>889639206000000</v>
      </c>
      <c r="G9" s="3">
        <v>140197662000000</v>
      </c>
      <c r="H9" s="3">
        <v>18481780000000</v>
      </c>
      <c r="I9" s="1">
        <v>983</v>
      </c>
      <c r="J9" s="4">
        <f t="shared" si="0"/>
        <v>1.7946318076466456</v>
      </c>
      <c r="K9" s="4">
        <f t="shared" si="1"/>
        <v>13.182659208682097</v>
      </c>
      <c r="L9" s="4">
        <f t="shared" si="2"/>
        <v>86.38642037818363</v>
      </c>
      <c r="M9" s="4">
        <f t="shared" si="3"/>
        <v>634.5606576520513</v>
      </c>
    </row>
    <row r="10" spans="1:13" x14ac:dyDescent="0.25">
      <c r="A10" s="1" t="s">
        <v>8</v>
      </c>
      <c r="B10" s="1" t="s">
        <v>21</v>
      </c>
      <c r="C10" s="1">
        <v>2025</v>
      </c>
      <c r="D10" s="2" t="s">
        <v>1</v>
      </c>
      <c r="E10" s="3">
        <v>2135371105000000</v>
      </c>
      <c r="F10" s="3">
        <v>1804429671000000</v>
      </c>
      <c r="G10" s="3">
        <v>330941434000000</v>
      </c>
      <c r="H10" s="3">
        <v>57132365000000</v>
      </c>
      <c r="I10" s="1">
        <v>376</v>
      </c>
      <c r="J10" s="4">
        <f t="shared" si="0"/>
        <v>2.6755239342812032</v>
      </c>
      <c r="K10" s="4">
        <f t="shared" si="1"/>
        <v>17.263587792394709</v>
      </c>
      <c r="L10" s="4">
        <f t="shared" si="2"/>
        <v>84.50192412807796</v>
      </c>
      <c r="M10" s="4">
        <f t="shared" si="3"/>
        <v>545.24138884344109</v>
      </c>
    </row>
    <row r="11" spans="1:13" x14ac:dyDescent="0.25">
      <c r="A11" s="1" t="s">
        <v>8</v>
      </c>
      <c r="B11" s="1" t="s">
        <v>21</v>
      </c>
      <c r="C11" s="1">
        <v>2024</v>
      </c>
      <c r="D11" s="2" t="s">
        <v>1</v>
      </c>
      <c r="E11" s="3">
        <v>1992186906000000</v>
      </c>
      <c r="F11" s="3">
        <v>1668871890000000</v>
      </c>
      <c r="G11" s="3">
        <v>323315016000000</v>
      </c>
      <c r="H11" s="3">
        <v>60306346000000</v>
      </c>
      <c r="I11" s="1">
        <v>398</v>
      </c>
      <c r="J11" s="4">
        <f t="shared" si="0"/>
        <v>3.0271429763126854</v>
      </c>
      <c r="K11" s="4">
        <f t="shared" si="1"/>
        <v>18.652503909685407</v>
      </c>
      <c r="L11" s="4">
        <f t="shared" si="2"/>
        <v>83.770849259863567</v>
      </c>
      <c r="M11" s="4">
        <f t="shared" si="3"/>
        <v>516.17518748340478</v>
      </c>
    </row>
    <row r="12" spans="1:13" x14ac:dyDescent="0.25">
      <c r="A12" s="1" t="s">
        <v>8</v>
      </c>
      <c r="B12" s="1" t="s">
        <v>21</v>
      </c>
      <c r="C12" s="1">
        <v>2023</v>
      </c>
      <c r="D12" s="2" t="s">
        <v>1</v>
      </c>
      <c r="E12" s="3">
        <v>1965007030000000</v>
      </c>
      <c r="F12" s="3">
        <v>1648534888000000</v>
      </c>
      <c r="G12" s="3">
        <v>316472142000000</v>
      </c>
      <c r="H12" s="3">
        <v>60425048000000</v>
      </c>
      <c r="I12" s="1">
        <v>398</v>
      </c>
      <c r="J12" s="4">
        <f t="shared" si="0"/>
        <v>3.0750550546376418</v>
      </c>
      <c r="K12" s="4">
        <f t="shared" si="1"/>
        <v>19.093322912447693</v>
      </c>
      <c r="L12" s="4">
        <f t="shared" si="2"/>
        <v>83.89460509970796</v>
      </c>
      <c r="M12" s="4">
        <f t="shared" si="3"/>
        <v>520.90995358447697</v>
      </c>
    </row>
    <row r="13" spans="1:13" x14ac:dyDescent="0.25">
      <c r="A13" s="1" t="s">
        <v>8</v>
      </c>
      <c r="B13" s="1" t="s">
        <v>21</v>
      </c>
      <c r="C13" s="1">
        <v>2022</v>
      </c>
      <c r="D13" s="2" t="s">
        <v>1</v>
      </c>
      <c r="E13" s="3">
        <v>1865639010000000</v>
      </c>
      <c r="F13" s="3">
        <v>1562243693000000</v>
      </c>
      <c r="G13" s="3">
        <v>303395317000000</v>
      </c>
      <c r="H13" s="3">
        <v>51408207000000</v>
      </c>
      <c r="I13" s="1">
        <v>338</v>
      </c>
      <c r="J13" s="4">
        <f t="shared" si="0"/>
        <v>2.7555280911498521</v>
      </c>
      <c r="K13" s="4">
        <f t="shared" si="1"/>
        <v>16.944298121780172</v>
      </c>
      <c r="L13" s="4">
        <f t="shared" si="2"/>
        <v>83.737726571229871</v>
      </c>
      <c r="M13" s="4">
        <f t="shared" si="3"/>
        <v>514.92017360307511</v>
      </c>
    </row>
    <row r="14" spans="1:13" x14ac:dyDescent="0.25">
      <c r="A14" s="1" t="s">
        <v>9</v>
      </c>
      <c r="B14" s="1" t="s">
        <v>22</v>
      </c>
      <c r="C14" s="1">
        <v>2025</v>
      </c>
      <c r="D14" s="2" t="s">
        <v>1</v>
      </c>
      <c r="E14" s="3">
        <v>2829948026000000</v>
      </c>
      <c r="F14" s="3">
        <v>2212925204000000</v>
      </c>
      <c r="G14" s="3">
        <v>327401998000000</v>
      </c>
      <c r="H14" s="3">
        <v>61346133000000</v>
      </c>
      <c r="I14" s="1">
        <v>603.23</v>
      </c>
      <c r="J14" s="4">
        <f t="shared" si="0"/>
        <v>2.1677476913492968</v>
      </c>
      <c r="K14" s="4">
        <f t="shared" si="1"/>
        <v>18.737250650498474</v>
      </c>
      <c r="L14" s="4">
        <f t="shared" si="2"/>
        <v>78.196673001371934</v>
      </c>
      <c r="M14" s="4">
        <f t="shared" si="3"/>
        <v>675.90461191993097</v>
      </c>
    </row>
    <row r="15" spans="1:13" x14ac:dyDescent="0.25">
      <c r="A15" s="1" t="s">
        <v>9</v>
      </c>
      <c r="B15" s="1" t="s">
        <v>22</v>
      </c>
      <c r="C15" s="1">
        <v>2024</v>
      </c>
      <c r="D15" s="2" t="s">
        <v>1</v>
      </c>
      <c r="E15" s="3">
        <v>2427223262000000</v>
      </c>
      <c r="F15" s="3">
        <v>1860408316000000</v>
      </c>
      <c r="G15" s="3">
        <v>313474681000000</v>
      </c>
      <c r="H15" s="3">
        <v>61165121000000</v>
      </c>
      <c r="I15" s="1">
        <v>597.66999999999996</v>
      </c>
      <c r="J15" s="4">
        <f t="shared" si="0"/>
        <v>2.5199627062572212</v>
      </c>
      <c r="K15" s="4">
        <f t="shared" si="1"/>
        <v>19.511981256310776</v>
      </c>
      <c r="L15" s="4">
        <f t="shared" si="2"/>
        <v>76.647597488294011</v>
      </c>
      <c r="M15" s="4">
        <f t="shared" si="3"/>
        <v>593.47961055904216</v>
      </c>
    </row>
    <row r="16" spans="1:13" x14ac:dyDescent="0.25">
      <c r="A16" s="1" t="s">
        <v>9</v>
      </c>
      <c r="B16" s="1" t="s">
        <v>22</v>
      </c>
      <c r="C16" s="1">
        <v>2023</v>
      </c>
      <c r="D16" s="2" t="s">
        <v>1</v>
      </c>
      <c r="E16" s="3">
        <v>2174219449000000</v>
      </c>
      <c r="F16" s="3">
        <v>1660442815000000</v>
      </c>
      <c r="G16" s="3">
        <v>287494962000000</v>
      </c>
      <c r="H16" s="3">
        <v>60051870000000</v>
      </c>
      <c r="I16" s="1">
        <v>589.92999999999995</v>
      </c>
      <c r="J16" s="4">
        <f t="shared" si="0"/>
        <v>2.7619967261179621</v>
      </c>
      <c r="K16" s="4">
        <f t="shared" si="1"/>
        <v>20.88797298646228</v>
      </c>
      <c r="L16" s="4">
        <f t="shared" si="2"/>
        <v>76.369605458349483</v>
      </c>
      <c r="M16" s="4">
        <f t="shared" si="3"/>
        <v>577.5554477368546</v>
      </c>
    </row>
    <row r="17" spans="1:13" x14ac:dyDescent="0.25">
      <c r="A17" s="1" t="s">
        <v>9</v>
      </c>
      <c r="B17" s="1" t="s">
        <v>22</v>
      </c>
      <c r="C17" s="1">
        <v>2022</v>
      </c>
      <c r="D17" s="2" t="s">
        <v>1</v>
      </c>
      <c r="E17" s="3">
        <v>1992544687000000</v>
      </c>
      <c r="F17" s="3">
        <v>1544096631000000</v>
      </c>
      <c r="G17" s="3">
        <v>252245455000000</v>
      </c>
      <c r="H17" s="3">
        <v>44952368000000</v>
      </c>
      <c r="I17" s="1">
        <v>441.26</v>
      </c>
      <c r="J17" s="4">
        <f t="shared" si="0"/>
        <v>2.2560280978029579</v>
      </c>
      <c r="K17" s="4">
        <f t="shared" si="1"/>
        <v>17.820883234546287</v>
      </c>
      <c r="L17" s="4">
        <f t="shared" si="2"/>
        <v>77.493701449918845</v>
      </c>
      <c r="M17" s="4">
        <f t="shared" si="3"/>
        <v>612.14051646639177</v>
      </c>
    </row>
    <row r="18" spans="1:13" x14ac:dyDescent="0.25">
      <c r="A18" s="1" t="s">
        <v>14</v>
      </c>
      <c r="B18" s="1" t="s">
        <v>23</v>
      </c>
      <c r="C18" s="1">
        <v>2025</v>
      </c>
      <c r="D18" s="2" t="s">
        <v>1</v>
      </c>
      <c r="E18" s="3">
        <v>275714367000000</v>
      </c>
      <c r="F18" s="3">
        <v>217702298000000</v>
      </c>
      <c r="G18" s="3">
        <v>58012069000000</v>
      </c>
      <c r="H18" s="3">
        <v>4194237000000</v>
      </c>
      <c r="I18" s="1">
        <v>406.27</v>
      </c>
      <c r="J18" s="4">
        <f t="shared" si="0"/>
        <v>1.5212254064366548</v>
      </c>
      <c r="K18" s="4">
        <f t="shared" si="1"/>
        <v>7.2299386529378911</v>
      </c>
      <c r="L18" s="4">
        <f t="shared" si="2"/>
        <v>78.959359415608546</v>
      </c>
      <c r="M18" s="4">
        <f t="shared" si="3"/>
        <v>375.27070099844224</v>
      </c>
    </row>
    <row r="19" spans="1:13" x14ac:dyDescent="0.25">
      <c r="A19" s="1" t="s">
        <v>14</v>
      </c>
      <c r="B19" s="1" t="s">
        <v>23</v>
      </c>
      <c r="C19" s="1">
        <v>2024</v>
      </c>
      <c r="D19" s="2" t="s">
        <v>1</v>
      </c>
      <c r="E19" s="3">
        <v>247967392000000</v>
      </c>
      <c r="F19" s="3">
        <v>193148548000000</v>
      </c>
      <c r="G19" s="3">
        <v>54818844000000</v>
      </c>
      <c r="H19" s="3">
        <v>3695004000000</v>
      </c>
      <c r="I19" s="1">
        <v>356.35</v>
      </c>
      <c r="J19" s="4">
        <f t="shared" si="0"/>
        <v>1.4901168940793634</v>
      </c>
      <c r="K19" s="4">
        <f t="shared" si="1"/>
        <v>6.7403902205599238</v>
      </c>
      <c r="L19" s="4">
        <f t="shared" si="2"/>
        <v>77.892720668691794</v>
      </c>
      <c r="M19" s="4">
        <f t="shared" si="3"/>
        <v>352.33969545216968</v>
      </c>
    </row>
    <row r="20" spans="1:13" x14ac:dyDescent="0.25">
      <c r="A20" s="1" t="s">
        <v>14</v>
      </c>
      <c r="B20" s="1" t="s">
        <v>23</v>
      </c>
      <c r="C20" s="1">
        <v>2023</v>
      </c>
      <c r="D20" s="2" t="s">
        <v>1</v>
      </c>
      <c r="E20" s="3">
        <v>221304532000000</v>
      </c>
      <c r="F20" s="3">
        <v>171345164000000</v>
      </c>
      <c r="G20" s="3">
        <v>49959368000000</v>
      </c>
      <c r="H20" s="3">
        <v>3658045000000</v>
      </c>
      <c r="I20" s="1">
        <v>358.51</v>
      </c>
      <c r="J20" s="4">
        <f t="shared" si="0"/>
        <v>1.6529462668211421</v>
      </c>
      <c r="K20" s="4">
        <f t="shared" si="1"/>
        <v>7.3220401827340966</v>
      </c>
      <c r="L20" s="4">
        <f t="shared" si="2"/>
        <v>77.425058787318463</v>
      </c>
      <c r="M20" s="4">
        <f t="shared" si="3"/>
        <v>342.96903835933233</v>
      </c>
    </row>
    <row r="21" spans="1:13" x14ac:dyDescent="0.25">
      <c r="A21" s="1" t="s">
        <v>14</v>
      </c>
      <c r="B21" s="1" t="s">
        <v>23</v>
      </c>
      <c r="C21" s="1">
        <v>2022</v>
      </c>
      <c r="D21" s="2" t="s">
        <v>1</v>
      </c>
      <c r="E21" s="3">
        <v>197729688000000</v>
      </c>
      <c r="F21" s="3">
        <v>150251206000000</v>
      </c>
      <c r="G21" s="3">
        <v>47478482000000</v>
      </c>
      <c r="H21" s="3">
        <v>3429634000000</v>
      </c>
      <c r="I21" s="1">
        <v>337.88</v>
      </c>
      <c r="J21" s="4">
        <f t="shared" si="0"/>
        <v>1.7345063529357312</v>
      </c>
      <c r="K21" s="4">
        <f t="shared" si="1"/>
        <v>7.2235544514670877</v>
      </c>
      <c r="L21" s="4">
        <f t="shared" si="2"/>
        <v>75.988187469349569</v>
      </c>
      <c r="M21" s="4">
        <f t="shared" si="3"/>
        <v>316.46168889729876</v>
      </c>
    </row>
    <row r="22" spans="1:13" x14ac:dyDescent="0.25">
      <c r="A22" s="1" t="s">
        <v>15</v>
      </c>
      <c r="B22" s="1" t="s">
        <v>24</v>
      </c>
      <c r="C22" s="1">
        <v>2025</v>
      </c>
      <c r="D22" s="2" t="s">
        <v>1</v>
      </c>
      <c r="E22" s="3">
        <v>527793420000000</v>
      </c>
      <c r="F22" s="3">
        <v>459700649000000</v>
      </c>
      <c r="G22" s="3">
        <v>36210293000000</v>
      </c>
      <c r="H22" s="3">
        <v>3501154000000</v>
      </c>
      <c r="I22" s="1">
        <v>249</v>
      </c>
      <c r="J22" s="4">
        <f t="shared" si="0"/>
        <v>0.66335688686683514</v>
      </c>
      <c r="K22" s="4">
        <f t="shared" si="1"/>
        <v>9.6689468930836888</v>
      </c>
      <c r="L22" s="4">
        <f t="shared" si="2"/>
        <v>87.098594181033945</v>
      </c>
      <c r="M22" s="4">
        <f t="shared" si="3"/>
        <v>1269.5303211161533</v>
      </c>
    </row>
    <row r="23" spans="1:13" x14ac:dyDescent="0.25">
      <c r="A23" s="1" t="s">
        <v>15</v>
      </c>
      <c r="B23" s="1" t="s">
        <v>24</v>
      </c>
      <c r="C23" s="1">
        <v>2024</v>
      </c>
      <c r="D23" s="2" t="s">
        <v>1</v>
      </c>
      <c r="E23" s="3">
        <v>469614502000000</v>
      </c>
      <c r="F23" s="3">
        <v>407794597000000</v>
      </c>
      <c r="G23" s="3">
        <v>32571889000000</v>
      </c>
      <c r="H23" s="3">
        <v>3007328000000</v>
      </c>
      <c r="I23" s="1">
        <v>214</v>
      </c>
      <c r="J23" s="4">
        <f t="shared" si="0"/>
        <v>0.64038226826308697</v>
      </c>
      <c r="K23" s="4">
        <f t="shared" si="1"/>
        <v>9.2328940455372415</v>
      </c>
      <c r="L23" s="4">
        <f t="shared" si="2"/>
        <v>86.836031524426815</v>
      </c>
      <c r="M23" s="4">
        <f t="shared" si="3"/>
        <v>1251.9832577103527</v>
      </c>
    </row>
    <row r="24" spans="1:13" x14ac:dyDescent="0.25">
      <c r="A24" s="1" t="s">
        <v>15</v>
      </c>
      <c r="B24" s="1" t="s">
        <v>24</v>
      </c>
      <c r="C24" s="1">
        <v>2023</v>
      </c>
      <c r="D24" s="2" t="s">
        <v>1</v>
      </c>
      <c r="E24" s="3">
        <v>438749736000000</v>
      </c>
      <c r="F24" s="3">
        <v>381164489000000</v>
      </c>
      <c r="G24" s="3">
        <v>30479152000000</v>
      </c>
      <c r="H24" s="3">
        <v>3500988000000</v>
      </c>
      <c r="I24" s="1">
        <v>249</v>
      </c>
      <c r="J24" s="4">
        <f t="shared" si="0"/>
        <v>0.79794646303787187</v>
      </c>
      <c r="K24" s="4">
        <f t="shared" si="1"/>
        <v>11.486500674296975</v>
      </c>
      <c r="L24" s="4">
        <f t="shared" si="2"/>
        <v>86.875149481571427</v>
      </c>
      <c r="M24" s="4">
        <f t="shared" si="3"/>
        <v>1250.5744549585893</v>
      </c>
    </row>
    <row r="25" spans="1:13" x14ac:dyDescent="0.25">
      <c r="A25" s="1" t="s">
        <v>15</v>
      </c>
      <c r="B25" s="1" t="s">
        <v>24</v>
      </c>
      <c r="C25" s="1">
        <v>2022</v>
      </c>
      <c r="D25" s="2" t="s">
        <v>1</v>
      </c>
      <c r="E25" s="3">
        <v>402148312000000</v>
      </c>
      <c r="F25" s="3">
        <v>351376683000000</v>
      </c>
      <c r="G25" s="3">
        <v>25909354000000</v>
      </c>
      <c r="H25" s="3">
        <v>3045073000000</v>
      </c>
      <c r="I25" s="1">
        <v>288</v>
      </c>
      <c r="J25" s="4">
        <f t="shared" si="0"/>
        <v>0.75720148739552584</v>
      </c>
      <c r="K25" s="4">
        <f t="shared" si="1"/>
        <v>11.752793990926984</v>
      </c>
      <c r="L25" s="4">
        <f t="shared" si="2"/>
        <v>87.374899387865639</v>
      </c>
      <c r="M25" s="4">
        <f t="shared" si="3"/>
        <v>1356.176935171753</v>
      </c>
    </row>
    <row r="26" spans="1:13" x14ac:dyDescent="0.25">
      <c r="A26" s="1" t="s">
        <v>16</v>
      </c>
      <c r="B26" s="1" t="s">
        <v>25</v>
      </c>
      <c r="C26" s="1">
        <v>2025</v>
      </c>
      <c r="D26" s="2" t="s">
        <v>1</v>
      </c>
      <c r="E26" s="3">
        <v>36507347000000</v>
      </c>
      <c r="F26" s="3">
        <v>27380259000000</v>
      </c>
      <c r="G26" s="3">
        <v>8825930000000</v>
      </c>
      <c r="H26" s="3">
        <v>276234000000</v>
      </c>
      <c r="I26" s="1">
        <v>19.93</v>
      </c>
      <c r="J26" s="4">
        <f t="shared" si="0"/>
        <v>0.75665317449662939</v>
      </c>
      <c r="K26" s="4">
        <f t="shared" si="1"/>
        <v>3.1298004856145472</v>
      </c>
      <c r="L26" s="4">
        <f t="shared" si="2"/>
        <v>74.999311782365339</v>
      </c>
      <c r="M26" s="4">
        <f t="shared" si="3"/>
        <v>310.22520006390261</v>
      </c>
    </row>
    <row r="27" spans="1:13" x14ac:dyDescent="0.25">
      <c r="A27" s="1" t="s">
        <v>16</v>
      </c>
      <c r="B27" s="1" t="s">
        <v>25</v>
      </c>
      <c r="C27" s="1">
        <v>2024</v>
      </c>
      <c r="D27" s="2" t="s">
        <v>1</v>
      </c>
      <c r="E27" s="3">
        <v>28542712000000</v>
      </c>
      <c r="F27" s="3">
        <v>19816367000000</v>
      </c>
      <c r="G27" s="3">
        <v>8518924000000</v>
      </c>
      <c r="H27" s="3">
        <v>128518000000</v>
      </c>
      <c r="I27" s="1">
        <v>9.27</v>
      </c>
      <c r="J27" s="4">
        <f t="shared" si="0"/>
        <v>0.45026555290191067</v>
      </c>
      <c r="K27" s="4">
        <f t="shared" si="1"/>
        <v>1.5086177550122526</v>
      </c>
      <c r="L27" s="4">
        <f t="shared" si="2"/>
        <v>69.427064253740141</v>
      </c>
      <c r="M27" s="4">
        <f t="shared" si="3"/>
        <v>232.61584444232631</v>
      </c>
    </row>
    <row r="28" spans="1:13" x14ac:dyDescent="0.25">
      <c r="A28" s="1" t="s">
        <v>16</v>
      </c>
      <c r="B28" s="1" t="s">
        <v>25</v>
      </c>
      <c r="C28" s="1">
        <v>2023</v>
      </c>
      <c r="D28" s="2" t="s">
        <v>1</v>
      </c>
      <c r="E28" s="3">
        <v>21295840000000</v>
      </c>
      <c r="F28" s="3">
        <v>12763718000000</v>
      </c>
      <c r="G28" s="3">
        <v>8356792000000</v>
      </c>
      <c r="H28" s="3">
        <v>72362000000</v>
      </c>
      <c r="I28" s="1">
        <v>5.22</v>
      </c>
      <c r="J28" s="4">
        <f t="shared" si="0"/>
        <v>0.3397940630658382</v>
      </c>
      <c r="K28" s="4">
        <f t="shared" si="1"/>
        <v>0.86590643873869311</v>
      </c>
      <c r="L28" s="4">
        <f t="shared" si="2"/>
        <v>59.935264352098812</v>
      </c>
      <c r="M28" s="4">
        <f t="shared" si="3"/>
        <v>152.73466181759699</v>
      </c>
    </row>
    <row r="29" spans="1:13" x14ac:dyDescent="0.25">
      <c r="A29" s="1" t="s">
        <v>16</v>
      </c>
      <c r="B29" s="1" t="s">
        <v>25</v>
      </c>
      <c r="C29" s="1">
        <v>2022</v>
      </c>
      <c r="D29" s="2" t="s">
        <v>1</v>
      </c>
      <c r="E29" s="3">
        <v>16965295000000</v>
      </c>
      <c r="F29" s="3">
        <v>8175479000000</v>
      </c>
      <c r="G29" s="3">
        <v>8263757000000</v>
      </c>
      <c r="H29" s="3">
        <v>15913000000</v>
      </c>
      <c r="I29" s="1">
        <v>1.1499999999999999</v>
      </c>
      <c r="J29" s="4">
        <f t="shared" si="0"/>
        <v>9.3797366918759742E-2</v>
      </c>
      <c r="K29" s="4">
        <f t="shared" si="1"/>
        <v>0.19256374552155878</v>
      </c>
      <c r="L29" s="4">
        <f t="shared" si="2"/>
        <v>48.189430245686857</v>
      </c>
      <c r="M29" s="4">
        <f t="shared" si="3"/>
        <v>98.931744967815476</v>
      </c>
    </row>
    <row r="30" spans="1:13" x14ac:dyDescent="0.25">
      <c r="A30" s="1" t="s">
        <v>17</v>
      </c>
      <c r="B30" s="1" t="s">
        <v>26</v>
      </c>
      <c r="C30" s="1">
        <v>2025</v>
      </c>
      <c r="D30" s="2" t="s">
        <v>1</v>
      </c>
      <c r="E30" s="3">
        <v>20272635000000</v>
      </c>
      <c r="F30" s="3">
        <v>16522003000000</v>
      </c>
      <c r="G30" s="3">
        <v>3750632000000</v>
      </c>
      <c r="H30" s="3">
        <v>81775000000</v>
      </c>
      <c r="I30" s="1">
        <v>1.84</v>
      </c>
      <c r="J30" s="4">
        <f t="shared" si="0"/>
        <v>0.40337627545703852</v>
      </c>
      <c r="K30" s="4">
        <f t="shared" si="1"/>
        <v>2.1802992135725394</v>
      </c>
      <c r="L30" s="4">
        <f t="shared" si="2"/>
        <v>81.499040455273814</v>
      </c>
      <c r="M30" s="4">
        <f t="shared" si="3"/>
        <v>440.51250562571857</v>
      </c>
    </row>
    <row r="31" spans="1:13" x14ac:dyDescent="0.25">
      <c r="A31" s="1" t="s">
        <v>17</v>
      </c>
      <c r="B31" s="1" t="s">
        <v>26</v>
      </c>
      <c r="C31" s="1">
        <v>2024</v>
      </c>
      <c r="D31" s="2" t="s">
        <v>1</v>
      </c>
      <c r="E31" s="3">
        <v>20871409000000</v>
      </c>
      <c r="F31" s="3">
        <v>17210289000000</v>
      </c>
      <c r="G31" s="3">
        <v>3661120000000</v>
      </c>
      <c r="H31" s="3">
        <v>74850000000</v>
      </c>
      <c r="I31" s="1">
        <v>1.85</v>
      </c>
      <c r="J31" s="4">
        <f t="shared" si="0"/>
        <v>0.35862456626670486</v>
      </c>
      <c r="K31" s="4">
        <f t="shared" si="1"/>
        <v>2.0444563412289134</v>
      </c>
      <c r="L31" s="4">
        <f t="shared" si="2"/>
        <v>82.458683072139507</v>
      </c>
      <c r="M31" s="4">
        <f t="shared" si="3"/>
        <v>470.08262498907436</v>
      </c>
    </row>
    <row r="32" spans="1:13" x14ac:dyDescent="0.25">
      <c r="A32" s="1" t="s">
        <v>17</v>
      </c>
      <c r="B32" s="1" t="s">
        <v>26</v>
      </c>
      <c r="C32" s="1">
        <v>2023</v>
      </c>
      <c r="D32" s="2" t="s">
        <v>1</v>
      </c>
      <c r="E32" s="3">
        <v>18147378000000</v>
      </c>
      <c r="F32" s="3">
        <v>14559944000000</v>
      </c>
      <c r="G32" s="3">
        <v>3587434000000</v>
      </c>
      <c r="H32" s="3">
        <v>77916000000</v>
      </c>
      <c r="I32" s="1">
        <v>2.63</v>
      </c>
      <c r="J32" s="4">
        <f t="shared" si="0"/>
        <v>0.42935128149091289</v>
      </c>
      <c r="K32" s="4">
        <f t="shared" si="1"/>
        <v>2.1719145216330111</v>
      </c>
      <c r="L32" s="4">
        <f t="shared" si="2"/>
        <v>80.231667627135991</v>
      </c>
      <c r="M32" s="4">
        <f t="shared" si="3"/>
        <v>405.85956424564193</v>
      </c>
    </row>
    <row r="33" spans="1:13" x14ac:dyDescent="0.25">
      <c r="A33" s="1" t="s">
        <v>17</v>
      </c>
      <c r="B33" s="1" t="s">
        <v>26</v>
      </c>
      <c r="C33" s="1">
        <v>2022</v>
      </c>
      <c r="D33" s="2" t="s">
        <v>1</v>
      </c>
      <c r="E33" s="3">
        <v>16862363000000</v>
      </c>
      <c r="F33" s="3">
        <v>14150029000000</v>
      </c>
      <c r="G33" s="3">
        <v>2712334000000</v>
      </c>
      <c r="H33" s="3">
        <v>52505000000</v>
      </c>
      <c r="I33" s="1">
        <v>1.87</v>
      </c>
      <c r="J33" s="4">
        <f t="shared" si="0"/>
        <v>0.31137391598081482</v>
      </c>
      <c r="K33" s="4">
        <f t="shared" si="1"/>
        <v>1.9357866693408703</v>
      </c>
      <c r="L33" s="4">
        <f t="shared" si="2"/>
        <v>83.914864126694468</v>
      </c>
      <c r="M33" s="4">
        <f t="shared" si="3"/>
        <v>521.69198188718644</v>
      </c>
    </row>
  </sheetData>
  <hyperlinks>
    <hyperlink ref="D2" r:id="rId1" xr:uid="{7C00C088-0EFA-403E-905D-57F9E004661D}"/>
    <hyperlink ref="D3" r:id="rId2" xr:uid="{A4C5F812-550A-4AFE-9F72-561D670C1BA8}"/>
    <hyperlink ref="D4" r:id="rId3" xr:uid="{B0F24134-A71F-43CE-A2DC-15687A0BE92C}"/>
    <hyperlink ref="D5" r:id="rId4" xr:uid="{131E098B-0908-428B-AF2B-3F8876BF834B}"/>
    <hyperlink ref="D6" r:id="rId5" xr:uid="{F43ED794-DF40-44CC-BE5A-79782F3653B4}"/>
    <hyperlink ref="D7" r:id="rId6" xr:uid="{D388B349-9D89-4BA0-8230-2D5CFC36FB9B}"/>
    <hyperlink ref="D8" r:id="rId7" xr:uid="{53B590BB-0BA0-49D4-B262-F9A0079318A8}"/>
    <hyperlink ref="D9" r:id="rId8" xr:uid="{92CC17C1-A247-4F2F-8684-466BB021CEC1}"/>
    <hyperlink ref="D10" r:id="rId9" xr:uid="{9B92FF8A-8547-4A54-98D6-8AD03C566F53}"/>
    <hyperlink ref="D11" r:id="rId10" xr:uid="{658047FA-EB19-421B-9A69-40E6229BD07D}"/>
    <hyperlink ref="D12" r:id="rId11" xr:uid="{62FD2238-055B-4DFE-B8DF-3B8283A86E54}"/>
    <hyperlink ref="D13" r:id="rId12" xr:uid="{C39118FC-9506-473D-97E8-7C55C4E39BF9}"/>
    <hyperlink ref="D14" r:id="rId13" xr:uid="{F0A775C1-4C8D-479B-846E-3325D37A363E}"/>
    <hyperlink ref="D15" r:id="rId14" xr:uid="{5E332ECF-DE1B-4DA2-B06A-3878993EC07B}"/>
    <hyperlink ref="D16" r:id="rId15" xr:uid="{A7BD4C5F-BA50-4A8C-8DA7-E9D49512EBE7}"/>
    <hyperlink ref="D17" r:id="rId16" xr:uid="{2A75524B-7BA6-4D00-B92F-51D31393A609}"/>
    <hyperlink ref="D18" r:id="rId17" xr:uid="{7D71FD6A-CFDB-418B-A950-3EECAD319C8B}"/>
    <hyperlink ref="D19" r:id="rId18" xr:uid="{BD0371A5-F246-452C-892F-322828FE569F}"/>
    <hyperlink ref="D20" r:id="rId19" xr:uid="{F17BB2B2-1ECB-42A3-8F8F-6D93DF1047F9}"/>
    <hyperlink ref="D21" r:id="rId20" xr:uid="{0ABFBD0A-DA65-4FF8-86AD-A361D2BDF26A}"/>
    <hyperlink ref="D22" r:id="rId21" xr:uid="{64758BAD-6AD0-41EE-B7EC-201AD5252D4A}"/>
    <hyperlink ref="D23" r:id="rId22" xr:uid="{F2E0F91B-4009-42AB-8E15-09E796F192F3}"/>
    <hyperlink ref="D24" r:id="rId23" xr:uid="{73DF5A22-29CA-46FB-A311-16E8F5D599B0}"/>
    <hyperlink ref="D25" r:id="rId24" xr:uid="{1E15C9A7-B010-4D99-BF6B-C812E1BC4970}"/>
    <hyperlink ref="D26" r:id="rId25" xr:uid="{3D989D94-FFE2-41EE-8681-D2770D4C83BE}"/>
    <hyperlink ref="D27" r:id="rId26" xr:uid="{D0F2F419-7912-4086-89CA-1CD469A8009B}"/>
    <hyperlink ref="D28" r:id="rId27" xr:uid="{E0AB0BFF-2490-478B-A5AC-56571C42788B}"/>
    <hyperlink ref="D29" r:id="rId28" xr:uid="{2CC386CA-A123-43ED-9E38-76A244683B1B}"/>
    <hyperlink ref="D30" r:id="rId29" xr:uid="{8D8EE0C4-654E-4C23-AA30-36B4141C713D}"/>
    <hyperlink ref="D31" r:id="rId30" xr:uid="{D19EAFB4-E890-4706-91AE-F3FCDE9E3440}"/>
    <hyperlink ref="D32" r:id="rId31" xr:uid="{4B7053A6-864F-4B5C-9120-48DA1C48F22D}"/>
    <hyperlink ref="D33" r:id="rId32" xr:uid="{49CB908B-94D5-432E-ABE2-1D20A6B4E38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Prana Gio</cp:lastModifiedBy>
  <dcterms:created xsi:type="dcterms:W3CDTF">2015-06-05T18:17:20Z</dcterms:created>
  <dcterms:modified xsi:type="dcterms:W3CDTF">2026-06-19T01:12:32Z</dcterms:modified>
</cp:coreProperties>
</file>